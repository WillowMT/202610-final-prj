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st Case" sheetId="2" state="visible" r:id="rId2"/>
    <sheet xmlns:r="http://schemas.openxmlformats.org/officeDocument/2006/relationships" name="Worst Case" sheetId="3" state="visible" r:id="rId3"/>
    <sheet xmlns:r="http://schemas.openxmlformats.org/officeDocument/2006/relationships" name="Real Case 1" sheetId="4" state="visible" r:id="rId4"/>
    <sheet xmlns:r="http://schemas.openxmlformats.org/officeDocument/2006/relationships" name="Real Case 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Cycles by Test Case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'Summary'!$A$5:$A$8</f>
            </numRef>
          </cat>
          <val>
            <numRef>
              <f>'Summary'!$B$5:$B$8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Case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Cycles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Cycles Per Pixel by Test Case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'Summary'!C4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'Summary'!$A$5:$A$8</f>
            </numRef>
          </cat>
          <val>
            <numRef>
              <f>'Summary'!$C$5:$C$8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Case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Cycles/Pixel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Cache Hit % vs Branch Accuracy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'Summary'!F4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'Summary'!$A$5:$A$8</f>
            </numRef>
          </cat>
          <val>
            <numRef>
              <f>'Summary'!$F$5:$F$8</f>
            </numRef>
          </val>
        </ser>
        <ser>
          <idx val="1"/>
          <order val="1"/>
          <tx>
            <strRef>
              <f>'Summary'!I4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cat>
            <numRef>
              <f>'Summary'!$A$5:$A$8</f>
            </numRef>
          </cat>
          <val>
            <numRef>
              <f>'Summary'!$I$5:$I$8</f>
            </numRef>
          </val>
        </ser>
        <dLbls>
          <numFmt formatCode="0.0%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Case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11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29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1" customWidth="1" min="4" max="4"/>
    <col width="13" customWidth="1" min="5" max="5"/>
    <col width="11" customWidth="1" min="6" max="6"/>
    <col width="14" customWidth="1" min="7" max="7"/>
    <col width="13" customWidth="1" min="8" max="8"/>
    <col width="11" customWidth="1" min="9" max="9"/>
    <col width="26" customWidth="1" min="10" max="10"/>
  </cols>
  <sheetData>
    <row r="1">
      <c r="A1" s="1" t="inlineStr">
        <is>
          <t>Data Collection Sheet — Project 1: CPU Instruction Simulator</t>
        </is>
      </c>
    </row>
    <row r="2">
      <c r="A2" s="2" t="inlineStr">
        <is>
          <t>Summary rows aggregate all recorded runs per test case (see case sheets for details).</t>
        </is>
      </c>
    </row>
    <row r="4">
      <c r="A4" s="3" t="inlineStr">
        <is>
          <t>Test Case</t>
        </is>
      </c>
      <c r="B4" s="3" t="inlineStr">
        <is>
          <t>Total Cycles</t>
        </is>
      </c>
      <c r="C4" s="3" t="inlineStr">
        <is>
          <t>Cycles/Pixel</t>
        </is>
      </c>
      <c r="D4" s="3" t="inlineStr">
        <is>
          <t>Cache Hits</t>
        </is>
      </c>
      <c r="E4" s="3" t="inlineStr">
        <is>
          <t>Cache Misses</t>
        </is>
      </c>
      <c r="F4" s="3" t="inlineStr">
        <is>
          <t>Cache Hit %</t>
        </is>
      </c>
      <c r="G4" s="3" t="inlineStr">
        <is>
          <t>Branch Correct</t>
        </is>
      </c>
      <c r="H4" s="3" t="inlineStr">
        <is>
          <t>Branch Total</t>
        </is>
      </c>
      <c r="I4" s="3" t="inlineStr">
        <is>
          <t>Accuracy %</t>
        </is>
      </c>
      <c r="J4" s="3" t="inlineStr">
        <is>
          <t>Est. Full Image (256×256) Cycles</t>
        </is>
      </c>
    </row>
    <row r="5">
      <c r="A5" s="4" t="inlineStr">
        <is>
          <t>Best Case (All 0)</t>
        </is>
      </c>
      <c r="B5" s="5">
        <f>SUM('Best Case'!D3:D12)</f>
        <v/>
      </c>
      <c r="C5" s="6">
        <f>IFERROR(AVERAGE('Best Case'!E3:E12),"")</f>
        <v/>
      </c>
      <c r="D5" s="5">
        <f>SUM('Best Case'!F3:F12)</f>
        <v/>
      </c>
      <c r="E5" s="5">
        <f>SUM('Best Case'!G3:G12)</f>
        <v/>
      </c>
      <c r="F5" s="7">
        <f>IFERROR(SUM('Best Case'!F3:F12)/(SUM('Best Case'!F3:F12)+SUM('Best Case'!G3:G12)),"")</f>
        <v/>
      </c>
      <c r="G5" s="5">
        <f>SUM('Best Case'!J3:J12)</f>
        <v/>
      </c>
      <c r="H5" s="5">
        <f>SUM('Best Case'!K3:K12)</f>
        <v/>
      </c>
      <c r="I5" s="7">
        <f>IFERROR(SUM('Best Case'!J3:J12)/SUM('Best Case'!K3:K12),"")</f>
        <v/>
      </c>
      <c r="J5" s="8">
        <f>IFERROR(AVERAGE('Best Case'!E3:E12)*65536,"")</f>
        <v/>
      </c>
    </row>
    <row r="6">
      <c r="A6" s="4" t="inlineStr">
        <is>
          <t>Worst Case (Alternating)</t>
        </is>
      </c>
      <c r="B6" s="5">
        <f>SUM('Worst Case'!D3:D12)</f>
        <v/>
      </c>
      <c r="C6" s="6">
        <f>IFERROR(AVERAGE('Worst Case'!E3:E12),"")</f>
        <v/>
      </c>
      <c r="D6" s="5">
        <f>SUM('Worst Case'!F3:F12)</f>
        <v/>
      </c>
      <c r="E6" s="5">
        <f>SUM('Worst Case'!G3:G12)</f>
        <v/>
      </c>
      <c r="F6" s="7">
        <f>IFERROR(SUM('Worst Case'!F3:F12)/(SUM('Worst Case'!F3:F12)+SUM('Worst Case'!G3:G12)),"")</f>
        <v/>
      </c>
      <c r="G6" s="5">
        <f>SUM('Worst Case'!J3:J12)</f>
        <v/>
      </c>
      <c r="H6" s="5">
        <f>SUM('Worst Case'!K3:K12)</f>
        <v/>
      </c>
      <c r="I6" s="7">
        <f>IFERROR(SUM('Worst Case'!J3:J12)/SUM('Worst Case'!K3:K12),"")</f>
        <v/>
      </c>
      <c r="J6" s="8">
        <f>IFERROR(AVERAGE('Worst Case'!E3:E12)*65536,"")</f>
        <v/>
      </c>
    </row>
    <row r="7">
      <c r="A7" s="4" t="inlineStr">
        <is>
          <t>Real Case 1 (70% Dark)</t>
        </is>
      </c>
      <c r="B7" s="5">
        <f>SUM('Real Case 1'!D3:D12)</f>
        <v/>
      </c>
      <c r="C7" s="6">
        <f>IFERROR(AVERAGE('Real Case 1'!E3:E12),"")</f>
        <v/>
      </c>
      <c r="D7" s="5">
        <f>SUM('Real Case 1'!F3:F12)</f>
        <v/>
      </c>
      <c r="E7" s="5">
        <f>SUM('Real Case 1'!G3:G12)</f>
        <v/>
      </c>
      <c r="F7" s="7">
        <f>IFERROR(SUM('Real Case 1'!F3:F12)/(SUM('Real Case 1'!F3:F12)+SUM('Real Case 1'!G3:G12)),"")</f>
        <v/>
      </c>
      <c r="G7" s="5">
        <f>SUM('Real Case 1'!J3:J12)</f>
        <v/>
      </c>
      <c r="H7" s="5">
        <f>SUM('Real Case 1'!K3:K12)</f>
        <v/>
      </c>
      <c r="I7" s="7">
        <f>IFERROR(SUM('Real Case 1'!J3:J12)/SUM('Real Case 1'!K3:K12),"")</f>
        <v/>
      </c>
      <c r="J7" s="8">
        <f>IFERROR(AVERAGE('Real Case 1'!E3:E12)*65536,"")</f>
        <v/>
      </c>
    </row>
    <row r="8">
      <c r="A8" s="4" t="inlineStr">
        <is>
          <t>Real Case 2 (Clustered)</t>
        </is>
      </c>
      <c r="B8" s="5">
        <f>SUM('Real Case 2'!D3:D12)</f>
        <v/>
      </c>
      <c r="C8" s="6">
        <f>IFERROR(AVERAGE('Real Case 2'!E3:E12),"")</f>
        <v/>
      </c>
      <c r="D8" s="5">
        <f>SUM('Real Case 2'!F3:F12)</f>
        <v/>
      </c>
      <c r="E8" s="5">
        <f>SUM('Real Case 2'!G3:G12)</f>
        <v/>
      </c>
      <c r="F8" s="7">
        <f>IFERROR(SUM('Real Case 2'!F3:F12)/(SUM('Real Case 2'!F3:F12)+SUM('Real Case 2'!G3:G12)),"")</f>
        <v/>
      </c>
      <c r="G8" s="5">
        <f>SUM('Real Case 2'!J3:J12)</f>
        <v/>
      </c>
      <c r="H8" s="5">
        <f>SUM('Real Case 2'!K3:K12)</f>
        <v/>
      </c>
      <c r="I8" s="7">
        <f>IFERROR(SUM('Real Case 2'!J3:J12)/SUM('Real Case 2'!K3:K12),"")</f>
        <v/>
      </c>
      <c r="J8" s="8">
        <f>IFERROR(AVERAGE('Real Case 2'!E3:E12)*65536,"")</f>
        <v/>
      </c>
    </row>
    <row r="10">
      <c r="A10" s="2" t="inlineStr">
        <is>
          <t>Note: Est. Full Image cycles = average Cycles/Pixel × 65,536 (256×256).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2" customWidth="1" min="5" max="5"/>
    <col width="11" customWidth="1" min="6" max="6"/>
    <col width="13" customWidth="1" min="7" max="7"/>
    <col width="9" customWidth="1" min="8" max="8"/>
    <col width="12" customWidth="1" min="9" max="9"/>
    <col width="14" customWidth="1" min="10" max="10"/>
    <col width="12" customWidth="1" min="11" max="11"/>
    <col width="11" customWidth="1" min="12" max="12"/>
  </cols>
  <sheetData>
    <row r="1">
      <c r="A1" s="9" t="inlineStr">
        <is>
          <t>Best Case (All 0)</t>
        </is>
      </c>
    </row>
    <row r="2">
      <c r="A2" s="3" t="inlineStr">
        <is>
          <t>Run ID</t>
        </is>
      </c>
      <c r="B2" s="3" t="inlineStr">
        <is>
          <t>Speed (ms/step)</t>
        </is>
      </c>
      <c r="C2" s="3" t="inlineStr">
        <is>
          <t>Pixels Processed</t>
        </is>
      </c>
      <c r="D2" s="3" t="inlineStr">
        <is>
          <t>Total Cycles</t>
        </is>
      </c>
      <c r="E2" s="3" t="inlineStr">
        <is>
          <t>Cycles/Pixel</t>
        </is>
      </c>
      <c r="F2" s="3" t="inlineStr">
        <is>
          <t>Cache Hits</t>
        </is>
      </c>
      <c r="G2" s="3" t="inlineStr">
        <is>
          <t>Cache Misses</t>
        </is>
      </c>
      <c r="H2" s="3" t="inlineStr">
        <is>
          <t>Hit %</t>
        </is>
      </c>
      <c r="I2" s="3" t="inlineStr">
        <is>
          <t>Stall Cycles</t>
        </is>
      </c>
      <c r="J2" s="3" t="inlineStr">
        <is>
          <t>Branch Correct</t>
        </is>
      </c>
      <c r="K2" s="3" t="inlineStr">
        <is>
          <t>Branch Total</t>
        </is>
      </c>
      <c r="L2" s="3" t="inlineStr">
        <is>
          <t>Accuracy %</t>
        </is>
      </c>
    </row>
    <row r="3">
      <c r="A3" s="4" t="inlineStr">
        <is>
          <t>BC-50-R1</t>
        </is>
      </c>
      <c r="B3" s="5" t="n">
        <v>50</v>
      </c>
      <c r="C3" s="5" t="n">
        <v>16</v>
      </c>
      <c r="D3" s="5" t="n">
        <v>351</v>
      </c>
      <c r="E3" s="6">
        <f>D3/C3</f>
        <v/>
      </c>
      <c r="F3" s="5" t="n">
        <v>13</v>
      </c>
      <c r="G3" s="5" t="n">
        <v>3</v>
      </c>
      <c r="H3" s="7">
        <f>F3/(F3+G3)</f>
        <v/>
      </c>
      <c r="I3" s="5" t="n">
        <v>141</v>
      </c>
      <c r="J3" s="5" t="n">
        <v>32</v>
      </c>
      <c r="K3" s="5" t="n">
        <v>32</v>
      </c>
      <c r="L3" s="7">
        <f>J3/K3</f>
        <v/>
      </c>
    </row>
    <row r="4">
      <c r="A4" s="4" t="n"/>
      <c r="B4" s="5" t="n"/>
      <c r="C4" s="5" t="n"/>
      <c r="D4" s="5" t="n"/>
      <c r="E4" s="6" t="n"/>
      <c r="F4" s="5" t="n"/>
      <c r="G4" s="5" t="n"/>
      <c r="H4" s="7" t="n"/>
      <c r="I4" s="5" t="n"/>
      <c r="J4" s="5" t="n"/>
      <c r="K4" s="5" t="n"/>
      <c r="L4" s="7" t="n"/>
    </row>
    <row r="5">
      <c r="A5" s="4" t="n"/>
      <c r="B5" s="5" t="n"/>
      <c r="C5" s="5" t="n"/>
      <c r="D5" s="5" t="n"/>
      <c r="E5" s="6" t="n"/>
      <c r="F5" s="5" t="n"/>
      <c r="G5" s="5" t="n"/>
      <c r="H5" s="7" t="n"/>
      <c r="I5" s="5" t="n"/>
      <c r="J5" s="5" t="n"/>
      <c r="K5" s="5" t="n"/>
      <c r="L5" s="7" t="n"/>
    </row>
    <row r="6">
      <c r="A6" s="4" t="n"/>
      <c r="B6" s="5" t="n"/>
      <c r="C6" s="5" t="n"/>
      <c r="D6" s="5" t="n"/>
      <c r="E6" s="6" t="n"/>
      <c r="F6" s="5" t="n"/>
      <c r="G6" s="5" t="n"/>
      <c r="H6" s="7" t="n"/>
      <c r="I6" s="5" t="n"/>
      <c r="J6" s="5" t="n"/>
      <c r="K6" s="5" t="n"/>
      <c r="L6" s="7" t="n"/>
    </row>
    <row r="7">
      <c r="A7" s="4" t="n"/>
      <c r="B7" s="5" t="n"/>
      <c r="C7" s="5" t="n"/>
      <c r="D7" s="5" t="n"/>
      <c r="E7" s="6" t="n"/>
      <c r="F7" s="5" t="n"/>
      <c r="G7" s="5" t="n"/>
      <c r="H7" s="7" t="n"/>
      <c r="I7" s="5" t="n"/>
      <c r="J7" s="5" t="n"/>
      <c r="K7" s="5" t="n"/>
      <c r="L7" s="7" t="n"/>
    </row>
    <row r="8">
      <c r="A8" s="4" t="n"/>
      <c r="B8" s="5" t="n"/>
      <c r="C8" s="5" t="n"/>
      <c r="D8" s="5" t="n"/>
      <c r="E8" s="6" t="n"/>
      <c r="F8" s="5" t="n"/>
      <c r="G8" s="5" t="n"/>
      <c r="H8" s="7" t="n"/>
      <c r="I8" s="5" t="n"/>
      <c r="J8" s="5" t="n"/>
      <c r="K8" s="5" t="n"/>
      <c r="L8" s="7" t="n"/>
    </row>
    <row r="9">
      <c r="A9" s="4" t="n"/>
      <c r="B9" s="5" t="n"/>
      <c r="C9" s="5" t="n"/>
      <c r="D9" s="5" t="n"/>
      <c r="E9" s="6" t="n"/>
      <c r="F9" s="5" t="n"/>
      <c r="G9" s="5" t="n"/>
      <c r="H9" s="7" t="n"/>
      <c r="I9" s="5" t="n"/>
      <c r="J9" s="5" t="n"/>
      <c r="K9" s="5" t="n"/>
      <c r="L9" s="7" t="n"/>
    </row>
    <row r="10">
      <c r="A10" s="4" t="n"/>
      <c r="B10" s="5" t="n"/>
      <c r="C10" s="5" t="n"/>
      <c r="D10" s="5" t="n"/>
      <c r="E10" s="6" t="n"/>
      <c r="F10" s="5" t="n"/>
      <c r="G10" s="5" t="n"/>
      <c r="H10" s="7" t="n"/>
      <c r="I10" s="5" t="n"/>
      <c r="J10" s="5" t="n"/>
      <c r="K10" s="5" t="n"/>
      <c r="L10" s="7" t="n"/>
    </row>
    <row r="11">
      <c r="A11" s="4" t="n"/>
      <c r="B11" s="5" t="n"/>
      <c r="C11" s="5" t="n"/>
      <c r="D11" s="5" t="n"/>
      <c r="E11" s="6" t="n"/>
      <c r="F11" s="5" t="n"/>
      <c r="G11" s="5" t="n"/>
      <c r="H11" s="7" t="n"/>
      <c r="I11" s="5" t="n"/>
      <c r="J11" s="5" t="n"/>
      <c r="K11" s="5" t="n"/>
      <c r="L11" s="7" t="n"/>
    </row>
    <row r="12">
      <c r="A12" s="4" t="n"/>
      <c r="B12" s="5" t="n"/>
      <c r="C12" s="5" t="n"/>
      <c r="D12" s="5" t="n"/>
      <c r="E12" s="6" t="n"/>
      <c r="F12" s="5" t="n"/>
      <c r="G12" s="5" t="n"/>
      <c r="H12" s="7" t="n"/>
      <c r="I12" s="5" t="n"/>
      <c r="J12" s="5" t="n"/>
      <c r="K12" s="5" t="n"/>
      <c r="L12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2" customWidth="1" min="5" max="5"/>
    <col width="11" customWidth="1" min="6" max="6"/>
    <col width="13" customWidth="1" min="7" max="7"/>
    <col width="9" customWidth="1" min="8" max="8"/>
    <col width="12" customWidth="1" min="9" max="9"/>
    <col width="14" customWidth="1" min="10" max="10"/>
    <col width="12" customWidth="1" min="11" max="11"/>
    <col width="11" customWidth="1" min="12" max="12"/>
  </cols>
  <sheetData>
    <row r="1">
      <c r="A1" s="9" t="inlineStr">
        <is>
          <t>Worst Case (Alternating)</t>
        </is>
      </c>
    </row>
    <row r="2">
      <c r="A2" s="3" t="inlineStr">
        <is>
          <t>Run ID</t>
        </is>
      </c>
      <c r="B2" s="3" t="inlineStr">
        <is>
          <t>Speed (ms/step)</t>
        </is>
      </c>
      <c r="C2" s="3" t="inlineStr">
        <is>
          <t>Pixels Processed</t>
        </is>
      </c>
      <c r="D2" s="3" t="inlineStr">
        <is>
          <t>Total Cycles</t>
        </is>
      </c>
      <c r="E2" s="3" t="inlineStr">
        <is>
          <t>Cycles/Pixel</t>
        </is>
      </c>
      <c r="F2" s="3" t="inlineStr">
        <is>
          <t>Cache Hits</t>
        </is>
      </c>
      <c r="G2" s="3" t="inlineStr">
        <is>
          <t>Cache Misses</t>
        </is>
      </c>
      <c r="H2" s="3" t="inlineStr">
        <is>
          <t>Hit %</t>
        </is>
      </c>
      <c r="I2" s="3" t="inlineStr">
        <is>
          <t>Stall Cycles</t>
        </is>
      </c>
      <c r="J2" s="3" t="inlineStr">
        <is>
          <t>Branch Correct</t>
        </is>
      </c>
      <c r="K2" s="3" t="inlineStr">
        <is>
          <t>Branch Total</t>
        </is>
      </c>
      <c r="L2" s="3" t="inlineStr">
        <is>
          <t>Accuracy %</t>
        </is>
      </c>
    </row>
    <row r="3">
      <c r="A3" s="4" t="inlineStr">
        <is>
          <t>WC-50-R1</t>
        </is>
      </c>
      <c r="B3" s="5" t="n">
        <v>50</v>
      </c>
      <c r="C3" s="5" t="n">
        <v>16</v>
      </c>
      <c r="D3" s="5" t="n">
        <v>502</v>
      </c>
      <c r="E3" s="6">
        <f>D3/C3</f>
        <v/>
      </c>
      <c r="F3" s="5" t="n">
        <v>13</v>
      </c>
      <c r="G3" s="5" t="n">
        <v>3</v>
      </c>
      <c r="H3" s="7">
        <f>F3/(F3+G3)</f>
        <v/>
      </c>
      <c r="I3" s="5" t="n">
        <v>276</v>
      </c>
      <c r="J3" s="5" t="n">
        <v>23</v>
      </c>
      <c r="K3" s="5" t="n">
        <v>32</v>
      </c>
      <c r="L3" s="7">
        <f>J3/K3</f>
        <v/>
      </c>
    </row>
    <row r="4">
      <c r="A4" s="4" t="n"/>
      <c r="B4" s="5" t="n"/>
      <c r="C4" s="5" t="n"/>
      <c r="D4" s="5" t="n"/>
      <c r="E4" s="6" t="n"/>
      <c r="F4" s="5" t="n"/>
      <c r="G4" s="5" t="n"/>
      <c r="H4" s="7" t="n"/>
      <c r="I4" s="5" t="n"/>
      <c r="J4" s="5" t="n"/>
      <c r="K4" s="5" t="n"/>
      <c r="L4" s="7" t="n"/>
    </row>
    <row r="5">
      <c r="A5" s="4" t="n"/>
      <c r="B5" s="5" t="n"/>
      <c r="C5" s="5" t="n"/>
      <c r="D5" s="5" t="n"/>
      <c r="E5" s="6" t="n"/>
      <c r="F5" s="5" t="n"/>
      <c r="G5" s="5" t="n"/>
      <c r="H5" s="7" t="n"/>
      <c r="I5" s="5" t="n"/>
      <c r="J5" s="5" t="n"/>
      <c r="K5" s="5" t="n"/>
      <c r="L5" s="7" t="n"/>
    </row>
    <row r="6">
      <c r="A6" s="4" t="n"/>
      <c r="B6" s="5" t="n"/>
      <c r="C6" s="5" t="n"/>
      <c r="D6" s="5" t="n"/>
      <c r="E6" s="6" t="n"/>
      <c r="F6" s="5" t="n"/>
      <c r="G6" s="5" t="n"/>
      <c r="H6" s="7" t="n"/>
      <c r="I6" s="5" t="n"/>
      <c r="J6" s="5" t="n"/>
      <c r="K6" s="5" t="n"/>
      <c r="L6" s="7" t="n"/>
    </row>
    <row r="7">
      <c r="A7" s="4" t="n"/>
      <c r="B7" s="5" t="n"/>
      <c r="C7" s="5" t="n"/>
      <c r="D7" s="5" t="n"/>
      <c r="E7" s="6" t="n"/>
      <c r="F7" s="5" t="n"/>
      <c r="G7" s="5" t="n"/>
      <c r="H7" s="7" t="n"/>
      <c r="I7" s="5" t="n"/>
      <c r="J7" s="5" t="n"/>
      <c r="K7" s="5" t="n"/>
      <c r="L7" s="7" t="n"/>
    </row>
    <row r="8">
      <c r="A8" s="4" t="n"/>
      <c r="B8" s="5" t="n"/>
      <c r="C8" s="5" t="n"/>
      <c r="D8" s="5" t="n"/>
      <c r="E8" s="6" t="n"/>
      <c r="F8" s="5" t="n"/>
      <c r="G8" s="5" t="n"/>
      <c r="H8" s="7" t="n"/>
      <c r="I8" s="5" t="n"/>
      <c r="J8" s="5" t="n"/>
      <c r="K8" s="5" t="n"/>
      <c r="L8" s="7" t="n"/>
    </row>
    <row r="9">
      <c r="A9" s="4" t="n"/>
      <c r="B9" s="5" t="n"/>
      <c r="C9" s="5" t="n"/>
      <c r="D9" s="5" t="n"/>
      <c r="E9" s="6" t="n"/>
      <c r="F9" s="5" t="n"/>
      <c r="G9" s="5" t="n"/>
      <c r="H9" s="7" t="n"/>
      <c r="I9" s="5" t="n"/>
      <c r="J9" s="5" t="n"/>
      <c r="K9" s="5" t="n"/>
      <c r="L9" s="7" t="n"/>
    </row>
    <row r="10">
      <c r="A10" s="4" t="n"/>
      <c r="B10" s="5" t="n"/>
      <c r="C10" s="5" t="n"/>
      <c r="D10" s="5" t="n"/>
      <c r="E10" s="6" t="n"/>
      <c r="F10" s="5" t="n"/>
      <c r="G10" s="5" t="n"/>
      <c r="H10" s="7" t="n"/>
      <c r="I10" s="5" t="n"/>
      <c r="J10" s="5" t="n"/>
      <c r="K10" s="5" t="n"/>
      <c r="L10" s="7" t="n"/>
    </row>
    <row r="11">
      <c r="A11" s="4" t="n"/>
      <c r="B11" s="5" t="n"/>
      <c r="C11" s="5" t="n"/>
      <c r="D11" s="5" t="n"/>
      <c r="E11" s="6" t="n"/>
      <c r="F11" s="5" t="n"/>
      <c r="G11" s="5" t="n"/>
      <c r="H11" s="7" t="n"/>
      <c r="I11" s="5" t="n"/>
      <c r="J11" s="5" t="n"/>
      <c r="K11" s="5" t="n"/>
      <c r="L11" s="7" t="n"/>
    </row>
    <row r="12">
      <c r="A12" s="4" t="n"/>
      <c r="B12" s="5" t="n"/>
      <c r="C12" s="5" t="n"/>
      <c r="D12" s="5" t="n"/>
      <c r="E12" s="6" t="n"/>
      <c r="F12" s="5" t="n"/>
      <c r="G12" s="5" t="n"/>
      <c r="H12" s="7" t="n"/>
      <c r="I12" s="5" t="n"/>
      <c r="J12" s="5" t="n"/>
      <c r="K12" s="5" t="n"/>
      <c r="L12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2" customWidth="1" min="5" max="5"/>
    <col width="11" customWidth="1" min="6" max="6"/>
    <col width="13" customWidth="1" min="7" max="7"/>
    <col width="9" customWidth="1" min="8" max="8"/>
    <col width="12" customWidth="1" min="9" max="9"/>
    <col width="14" customWidth="1" min="10" max="10"/>
    <col width="12" customWidth="1" min="11" max="11"/>
    <col width="11" customWidth="1" min="12" max="12"/>
  </cols>
  <sheetData>
    <row r="1">
      <c r="A1" s="9" t="inlineStr">
        <is>
          <t>Real Case 1 (70% Dark)</t>
        </is>
      </c>
    </row>
    <row r="2">
      <c r="A2" s="3" t="inlineStr">
        <is>
          <t>Run ID</t>
        </is>
      </c>
      <c r="B2" s="3" t="inlineStr">
        <is>
          <t>Speed (ms/step)</t>
        </is>
      </c>
      <c r="C2" s="3" t="inlineStr">
        <is>
          <t>Pixels Processed</t>
        </is>
      </c>
      <c r="D2" s="3" t="inlineStr">
        <is>
          <t>Total Cycles</t>
        </is>
      </c>
      <c r="E2" s="3" t="inlineStr">
        <is>
          <t>Cycles/Pixel</t>
        </is>
      </c>
      <c r="F2" s="3" t="inlineStr">
        <is>
          <t>Cache Hits</t>
        </is>
      </c>
      <c r="G2" s="3" t="inlineStr">
        <is>
          <t>Cache Misses</t>
        </is>
      </c>
      <c r="H2" s="3" t="inlineStr">
        <is>
          <t>Hit %</t>
        </is>
      </c>
      <c r="I2" s="3" t="inlineStr">
        <is>
          <t>Stall Cycles</t>
        </is>
      </c>
      <c r="J2" s="3" t="inlineStr">
        <is>
          <t>Branch Correct</t>
        </is>
      </c>
      <c r="K2" s="3" t="inlineStr">
        <is>
          <t>Branch Total</t>
        </is>
      </c>
      <c r="L2" s="3" t="inlineStr">
        <is>
          <t>Accuracy %</t>
        </is>
      </c>
    </row>
    <row r="3">
      <c r="A3" s="4" t="inlineStr">
        <is>
          <t>RC1-50-R1</t>
        </is>
      </c>
      <c r="B3" s="5" t="n">
        <v>50</v>
      </c>
      <c r="C3" s="5" t="n">
        <v>16</v>
      </c>
      <c r="D3" s="5" t="n">
        <v>406</v>
      </c>
      <c r="E3" s="6">
        <f>D3/C3</f>
        <v/>
      </c>
      <c r="F3" s="5" t="n">
        <v>13</v>
      </c>
      <c r="G3" s="5" t="n">
        <v>3</v>
      </c>
      <c r="H3" s="7">
        <f>F3/(F3+G3)</f>
        <v/>
      </c>
      <c r="I3" s="5" t="n">
        <v>186</v>
      </c>
      <c r="J3" s="5" t="n">
        <v>29</v>
      </c>
      <c r="K3" s="5" t="n">
        <v>32</v>
      </c>
      <c r="L3" s="7">
        <f>J3/K3</f>
        <v/>
      </c>
    </row>
    <row r="4">
      <c r="A4" s="4" t="n"/>
      <c r="B4" s="5" t="n"/>
      <c r="C4" s="5" t="n"/>
      <c r="D4" s="5" t="n"/>
      <c r="E4" s="6" t="n"/>
      <c r="F4" s="5" t="n"/>
      <c r="G4" s="5" t="n"/>
      <c r="H4" s="7" t="n"/>
      <c r="I4" s="5" t="n"/>
      <c r="J4" s="5" t="n"/>
      <c r="K4" s="5" t="n"/>
      <c r="L4" s="7" t="n"/>
    </row>
    <row r="5">
      <c r="A5" s="4" t="n"/>
      <c r="B5" s="5" t="n"/>
      <c r="C5" s="5" t="n"/>
      <c r="D5" s="5" t="n"/>
      <c r="E5" s="6" t="n"/>
      <c r="F5" s="5" t="n"/>
      <c r="G5" s="5" t="n"/>
      <c r="H5" s="7" t="n"/>
      <c r="I5" s="5" t="n"/>
      <c r="J5" s="5" t="n"/>
      <c r="K5" s="5" t="n"/>
      <c r="L5" s="7" t="n"/>
    </row>
    <row r="6">
      <c r="A6" s="4" t="n"/>
      <c r="B6" s="5" t="n"/>
      <c r="C6" s="5" t="n"/>
      <c r="D6" s="5" t="n"/>
      <c r="E6" s="6" t="n"/>
      <c r="F6" s="5" t="n"/>
      <c r="G6" s="5" t="n"/>
      <c r="H6" s="7" t="n"/>
      <c r="I6" s="5" t="n"/>
      <c r="J6" s="5" t="n"/>
      <c r="K6" s="5" t="n"/>
      <c r="L6" s="7" t="n"/>
    </row>
    <row r="7">
      <c r="A7" s="4" t="n"/>
      <c r="B7" s="5" t="n"/>
      <c r="C7" s="5" t="n"/>
      <c r="D7" s="5" t="n"/>
      <c r="E7" s="6" t="n"/>
      <c r="F7" s="5" t="n"/>
      <c r="G7" s="5" t="n"/>
      <c r="H7" s="7" t="n"/>
      <c r="I7" s="5" t="n"/>
      <c r="J7" s="5" t="n"/>
      <c r="K7" s="5" t="n"/>
      <c r="L7" s="7" t="n"/>
    </row>
    <row r="8">
      <c r="A8" s="4" t="n"/>
      <c r="B8" s="5" t="n"/>
      <c r="C8" s="5" t="n"/>
      <c r="D8" s="5" t="n"/>
      <c r="E8" s="6" t="n"/>
      <c r="F8" s="5" t="n"/>
      <c r="G8" s="5" t="n"/>
      <c r="H8" s="7" t="n"/>
      <c r="I8" s="5" t="n"/>
      <c r="J8" s="5" t="n"/>
      <c r="K8" s="5" t="n"/>
      <c r="L8" s="7" t="n"/>
    </row>
    <row r="9">
      <c r="A9" s="4" t="n"/>
      <c r="B9" s="5" t="n"/>
      <c r="C9" s="5" t="n"/>
      <c r="D9" s="5" t="n"/>
      <c r="E9" s="6" t="n"/>
      <c r="F9" s="5" t="n"/>
      <c r="G9" s="5" t="n"/>
      <c r="H9" s="7" t="n"/>
      <c r="I9" s="5" t="n"/>
      <c r="J9" s="5" t="n"/>
      <c r="K9" s="5" t="n"/>
      <c r="L9" s="7" t="n"/>
    </row>
    <row r="10">
      <c r="A10" s="4" t="n"/>
      <c r="B10" s="5" t="n"/>
      <c r="C10" s="5" t="n"/>
      <c r="D10" s="5" t="n"/>
      <c r="E10" s="6" t="n"/>
      <c r="F10" s="5" t="n"/>
      <c r="G10" s="5" t="n"/>
      <c r="H10" s="7" t="n"/>
      <c r="I10" s="5" t="n"/>
      <c r="J10" s="5" t="n"/>
      <c r="K10" s="5" t="n"/>
      <c r="L10" s="7" t="n"/>
    </row>
    <row r="11">
      <c r="A11" s="4" t="n"/>
      <c r="B11" s="5" t="n"/>
      <c r="C11" s="5" t="n"/>
      <c r="D11" s="5" t="n"/>
      <c r="E11" s="6" t="n"/>
      <c r="F11" s="5" t="n"/>
      <c r="G11" s="5" t="n"/>
      <c r="H11" s="7" t="n"/>
      <c r="I11" s="5" t="n"/>
      <c r="J11" s="5" t="n"/>
      <c r="K11" s="5" t="n"/>
      <c r="L11" s="7" t="n"/>
    </row>
    <row r="12">
      <c r="A12" s="4" t="n"/>
      <c r="B12" s="5" t="n"/>
      <c r="C12" s="5" t="n"/>
      <c r="D12" s="5" t="n"/>
      <c r="E12" s="6" t="n"/>
      <c r="F12" s="5" t="n"/>
      <c r="G12" s="5" t="n"/>
      <c r="H12" s="7" t="n"/>
      <c r="I12" s="5" t="n"/>
      <c r="J12" s="5" t="n"/>
      <c r="K12" s="5" t="n"/>
      <c r="L12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2" customWidth="1" min="5" max="5"/>
    <col width="11" customWidth="1" min="6" max="6"/>
    <col width="13" customWidth="1" min="7" max="7"/>
    <col width="9" customWidth="1" min="8" max="8"/>
    <col width="12" customWidth="1" min="9" max="9"/>
    <col width="14" customWidth="1" min="10" max="10"/>
    <col width="12" customWidth="1" min="11" max="11"/>
    <col width="11" customWidth="1" min="12" max="12"/>
  </cols>
  <sheetData>
    <row r="1">
      <c r="A1" s="9" t="inlineStr">
        <is>
          <t>Real Case 2 (Clustered)</t>
        </is>
      </c>
    </row>
    <row r="2">
      <c r="A2" s="3" t="inlineStr">
        <is>
          <t>Run ID</t>
        </is>
      </c>
      <c r="B2" s="3" t="inlineStr">
        <is>
          <t>Speed (ms/step)</t>
        </is>
      </c>
      <c r="C2" s="3" t="inlineStr">
        <is>
          <t>Pixels Processed</t>
        </is>
      </c>
      <c r="D2" s="3" t="inlineStr">
        <is>
          <t>Total Cycles</t>
        </is>
      </c>
      <c r="E2" s="3" t="inlineStr">
        <is>
          <t>Cycles/Pixel</t>
        </is>
      </c>
      <c r="F2" s="3" t="inlineStr">
        <is>
          <t>Cache Hits</t>
        </is>
      </c>
      <c r="G2" s="3" t="inlineStr">
        <is>
          <t>Cache Misses</t>
        </is>
      </c>
      <c r="H2" s="3" t="inlineStr">
        <is>
          <t>Hit %</t>
        </is>
      </c>
      <c r="I2" s="3" t="inlineStr">
        <is>
          <t>Stall Cycles</t>
        </is>
      </c>
      <c r="J2" s="3" t="inlineStr">
        <is>
          <t>Branch Correct</t>
        </is>
      </c>
      <c r="K2" s="3" t="inlineStr">
        <is>
          <t>Branch Total</t>
        </is>
      </c>
      <c r="L2" s="3" t="inlineStr">
        <is>
          <t>Accuracy %</t>
        </is>
      </c>
    </row>
    <row r="3">
      <c r="A3" s="4" t="inlineStr">
        <is>
          <t>RC2-50-R1</t>
        </is>
      </c>
      <c r="B3" s="5" t="n">
        <v>50</v>
      </c>
      <c r="C3" s="5" t="n">
        <v>16</v>
      </c>
      <c r="D3" s="5" t="n">
        <v>444</v>
      </c>
      <c r="E3" s="6">
        <f>D3/C3</f>
        <v/>
      </c>
      <c r="F3" s="5" t="n">
        <v>12</v>
      </c>
      <c r="G3" s="5" t="n">
        <v>4</v>
      </c>
      <c r="H3" s="7">
        <f>F3/(F3+G3)</f>
        <v/>
      </c>
      <c r="I3" s="5" t="n">
        <v>218</v>
      </c>
      <c r="J3" s="5" t="n">
        <v>30</v>
      </c>
      <c r="K3" s="5" t="n">
        <v>32</v>
      </c>
      <c r="L3" s="7">
        <f>J3/K3</f>
        <v/>
      </c>
    </row>
    <row r="4">
      <c r="A4" s="4" t="n"/>
      <c r="B4" s="5" t="n"/>
      <c r="C4" s="5" t="n"/>
      <c r="D4" s="5" t="n"/>
      <c r="E4" s="6" t="n"/>
      <c r="F4" s="5" t="n"/>
      <c r="G4" s="5" t="n"/>
      <c r="H4" s="7" t="n"/>
      <c r="I4" s="5" t="n"/>
      <c r="J4" s="5" t="n"/>
      <c r="K4" s="5" t="n"/>
      <c r="L4" s="7" t="n"/>
    </row>
    <row r="5">
      <c r="A5" s="4" t="n"/>
      <c r="B5" s="5" t="n"/>
      <c r="C5" s="5" t="n"/>
      <c r="D5" s="5" t="n"/>
      <c r="E5" s="6" t="n"/>
      <c r="F5" s="5" t="n"/>
      <c r="G5" s="5" t="n"/>
      <c r="H5" s="7" t="n"/>
      <c r="I5" s="5" t="n"/>
      <c r="J5" s="5" t="n"/>
      <c r="K5" s="5" t="n"/>
      <c r="L5" s="7" t="n"/>
    </row>
    <row r="6">
      <c r="A6" s="4" t="n"/>
      <c r="B6" s="5" t="n"/>
      <c r="C6" s="5" t="n"/>
      <c r="D6" s="5" t="n"/>
      <c r="E6" s="6" t="n"/>
      <c r="F6" s="5" t="n"/>
      <c r="G6" s="5" t="n"/>
      <c r="H6" s="7" t="n"/>
      <c r="I6" s="5" t="n"/>
      <c r="J6" s="5" t="n"/>
      <c r="K6" s="5" t="n"/>
      <c r="L6" s="7" t="n"/>
    </row>
    <row r="7">
      <c r="A7" s="4" t="n"/>
      <c r="B7" s="5" t="n"/>
      <c r="C7" s="5" t="n"/>
      <c r="D7" s="5" t="n"/>
      <c r="E7" s="6" t="n"/>
      <c r="F7" s="5" t="n"/>
      <c r="G7" s="5" t="n"/>
      <c r="H7" s="7" t="n"/>
      <c r="I7" s="5" t="n"/>
      <c r="J7" s="5" t="n"/>
      <c r="K7" s="5" t="n"/>
      <c r="L7" s="7" t="n"/>
    </row>
    <row r="8">
      <c r="A8" s="4" t="n"/>
      <c r="B8" s="5" t="n"/>
      <c r="C8" s="5" t="n"/>
      <c r="D8" s="5" t="n"/>
      <c r="E8" s="6" t="n"/>
      <c r="F8" s="5" t="n"/>
      <c r="G8" s="5" t="n"/>
      <c r="H8" s="7" t="n"/>
      <c r="I8" s="5" t="n"/>
      <c r="J8" s="5" t="n"/>
      <c r="K8" s="5" t="n"/>
      <c r="L8" s="7" t="n"/>
    </row>
    <row r="9">
      <c r="A9" s="4" t="n"/>
      <c r="B9" s="5" t="n"/>
      <c r="C9" s="5" t="n"/>
      <c r="D9" s="5" t="n"/>
      <c r="E9" s="6" t="n"/>
      <c r="F9" s="5" t="n"/>
      <c r="G9" s="5" t="n"/>
      <c r="H9" s="7" t="n"/>
      <c r="I9" s="5" t="n"/>
      <c r="J9" s="5" t="n"/>
      <c r="K9" s="5" t="n"/>
      <c r="L9" s="7" t="n"/>
    </row>
    <row r="10">
      <c r="A10" s="4" t="n"/>
      <c r="B10" s="5" t="n"/>
      <c r="C10" s="5" t="n"/>
      <c r="D10" s="5" t="n"/>
      <c r="E10" s="6" t="n"/>
      <c r="F10" s="5" t="n"/>
      <c r="G10" s="5" t="n"/>
      <c r="H10" s="7" t="n"/>
      <c r="I10" s="5" t="n"/>
      <c r="J10" s="5" t="n"/>
      <c r="K10" s="5" t="n"/>
      <c r="L10" s="7" t="n"/>
    </row>
    <row r="11">
      <c r="A11" s="4" t="n"/>
      <c r="B11" s="5" t="n"/>
      <c r="C11" s="5" t="n"/>
      <c r="D11" s="5" t="n"/>
      <c r="E11" s="6" t="n"/>
      <c r="F11" s="5" t="n"/>
      <c r="G11" s="5" t="n"/>
      <c r="H11" s="7" t="n"/>
      <c r="I11" s="5" t="n"/>
      <c r="J11" s="5" t="n"/>
      <c r="K11" s="5" t="n"/>
      <c r="L11" s="7" t="n"/>
    </row>
    <row r="12">
      <c r="A12" s="4" t="n"/>
      <c r="B12" s="5" t="n"/>
      <c r="C12" s="5" t="n"/>
      <c r="D12" s="5" t="n"/>
      <c r="E12" s="6" t="n"/>
      <c r="F12" s="5" t="n"/>
      <c r="G12" s="5" t="n"/>
      <c r="H12" s="7" t="n"/>
      <c r="I12" s="5" t="n"/>
      <c r="J12" s="5" t="n"/>
      <c r="K12" s="5" t="n"/>
      <c r="L1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2026-09-29T04:42:59Z</dcterms:created>
  <dcterms:modified xmlns:dcterms="http://purl.org/dc/terms/" xmlns:xsi="http://www.w3.org/2001/XMLSchema-instance" xsi:type="dcterms:W3CDTF">2026-09-29T04:43:32Z</dcterms:modified>
</cp:coreProperties>
</file>