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 Tra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<sst xmlns="http://schemas.openxmlformats.org/spreadsheetml/2006/main" count="39" uniqueCount="35">
  <si>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Step-by-step trace: Worst Case (STEP FORWARD)</t>
  </si>
  <si>
    <t xml:space="preserve">How to fill: only the YELLOW cells. Everything else calculates itself.</t>
  </si>
  <si>
    <t xml:space="preserve">Cache: read the Execution Summary when the highlight is on 0x08 LOAD → 'Cache HIT' or 'Cache MISS'.</t>
  </si>
  <si>
    <t xml:space="preserve">Branch: read it at 0x10 BLT → 'Branch HIT' or 'Branch MISPREDICT'. (BNE is always correct in this simulator, so only BLT counts.)</t>
  </si>
  <si>
    <t xml:space="preserve">Total Cycles (simulator): read Quick Metrics → Total Cycles right after that pixel's 0x30 BNE line runs.</t>
  </si>
  <si>
    <t xml:space="preserve">Match? shows ✓ if your number equals the expected total. ✗ means re-check that pixel (or a penalty was missed).</t>
  </si>
  <si>
    <t xml:space="preserve">Example (not part of the run):</t>
  </si>
  <si>
    <t xml:space="preserve">Pixel 64, Cache MISS, Branch HIT → penalty 47 → expected total = 2 + 13 + 47 = 62</t>
  </si>
  <si>
    <t xml:space="preserve">Pixel</t>
  </si>
  <si>
    <t xml:space="preserve">Input</t>
  </si>
  <si>
    <t xml:space="preserve">Dark / Bright</t>
  </si>
  <si>
    <t xml:space="preserve">Expected output</t>
  </si>
  <si>
    <t xml:space="preserve">Base cycles</t>
  </si>
  <si>
    <t xml:space="preserve">Cache (HIT/MISS)</t>
  </si>
  <si>
    <t xml:space="preserve">Branch (HIT/MISPREDICT)</t>
  </si>
  <si>
    <t xml:space="preserve">Penalty</t>
  </si>
  <si>
    <t xml:space="preserve">Expected total</t>
  </si>
  <si>
    <t xml:space="preserve">Total Cycles (simulator)</t>
  </si>
  <si>
    <t xml:space="preserve">Match?</t>
  </si>
  <si>
    <t xml:space="preserve">Setup</t>
  </si>
  <si>
    <t xml:space="preserve">—</t>
  </si>
  <si>
    <t xml:space="preserve">Summary</t>
  </si>
  <si>
    <t xml:space="preserve">Dark pixels</t>
  </si>
  <si>
    <t xml:space="preserve">Bright pixels</t>
  </si>
  <si>
    <t xml:space="preserve">Base cycles (no penalties)</t>
  </si>
  <si>
    <t xml:space="preserve">Cache misses</t>
  </si>
  <si>
    <t xml:space="preserve">Cache penalty (misses × 47)</t>
  </si>
  <si>
    <t xml:space="preserve">Branch mispredictions (BLT)</t>
  </si>
  <si>
    <t xml:space="preserve">Branch penalty (mispredictions × 15)</t>
  </si>
  <si>
    <t xml:space="preserve">Expected total cycles</t>
  </si>
  <si>
    <t xml:space="preserve">Final Total Cycles (simulator)</t>
  </si>
  <si>
    <t xml:space="preserve">Cycles per pixel (CPP)</t>
  </si>
  <si>
    <t xml:space="preserve">Cache hit rate</t>
  </si>
  <si>
    <t xml:space="preserve">BLT prediction accuracy</t>
  </si>
  <si>
    <t xml:space="preserve">Rule used: pixel &lt; 128 → +32 (dark, 13 cycles); otherwise −8 (bright, 15 cycles). Setup = 2 cycles. Penalties: cache miss +47, branch mispredict +15 (from the simulator code).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</si>
</sst>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3C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7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4" t="s">
        <v>3</v>
      </c>
    </row>
    <row r="5" customFormat="false" ht="15" hidden="false" customHeight="true" outlineLevel="0" collapsed="false">
      <c r="A5" s="4" t="s">
        <v>4</v>
      </c>
    </row>
    <row r="6" customFormat="false" ht="15" hidden="false" customHeight="true" outlineLevel="0" collapsed="false">
      <c r="A6" s="4" t="s">
        <v>5</v>
      </c>
    </row>
    <row r="7" customFormat="false" ht="15" hidden="false" customHeight="true" outlineLevel="0" collapsed="false">
      <c r="A7" s="5" t="s">
        <v>6</v>
      </c>
    </row>
    <row r="8" customFormat="false" ht="15" hidden="false" customHeight="true" outlineLevel="0" collapsed="false">
      <c r="A8" s="6" t="s">
        <v>7</v>
      </c>
    </row>
    <row r="10" customFormat="false" ht="31.5" hidden="false" customHeight="true" outlineLevel="0" collapsed="false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  <c r="J10" s="7" t="s">
        <v>17</v>
      </c>
      <c r="K10" s="7" t="s">
        <v>18</v>
      </c>
    </row>
    <row r="11" customFormat="false" ht="15" hidden="false" customHeight="true" outlineLevel="0" collapsed="false">
      <c r="A11" s="8" t="s">
        <v>19</v>
      </c>
      <c r="B11" s="8" t="s">
        <v>20</v>
      </c>
      <c r="C11" s="8" t="s">
        <v>20</v>
      </c>
      <c r="D11" s="8" t="s">
        <v>20</v>
      </c>
      <c r="E11" s="8" t="n">
        <v>2</v>
      </c>
      <c r="F11" s="8" t="s">
        <v>20</v>
      </c>
      <c r="G11" s="8" t="s">
        <v>20</v>
      </c>
      <c r="H11" s="8" t="n">
        <v>0</v>
      </c>
      <c r="I11" s="8" t="n">
        <f aca="false">E11</f>
        <v>2</v>
      </c>
      <c r="J11" s="9"/>
      <c r="K11" s="8" t="str">
        <f aca="false">IF(J11="","",IF(J11=I11,"✓","✗ check"))</f>
        <v/>
      </c>
    </row>
    <row r="12" customFormat="false" ht="15" hidden="false" customHeight="true" outlineLevel="0" collapsed="false">
      <c r="A12" s="10" t="n">
        <v>1</v>
      </c>
      <c r="B12" s="10" t="n">
        <v>64</v>
      </c>
      <c r="C12" s="10" t="str">
        <f aca="false">IF(B12&lt;128,"Dark","Bright")</f>
        <v>Dark</v>
      </c>
      <c r="D12" s="10" t="n">
        <f aca="false">IF(B12&lt;128,MIN(255,B12+32),MAX(0,B12-8))</f>
        <v>96</v>
      </c>
      <c r="E12" s="10" t="n">
        <f aca="false">IF(B12&lt;128,13,15)</f>
        <v>13</v>
      </c>
      <c r="F12" s="9"/>
      <c r="G12" s="9"/>
      <c r="H12" s="10" t="n">
        <f aca="false">IF(F12="MISS",47,0)+IF(G12="MISPREDICT",15,0)</f>
        <v>0</v>
      </c>
      <c r="I12" s="10" t="n">
        <f aca="false">I11+E12+H12</f>
        <v>15</v>
      </c>
      <c r="J12" s="9"/>
      <c r="K12" s="10" t="str">
        <f aca="false">IF(J12="","",IF(J12=I12,"✓","✗ check"))</f>
        <v/>
      </c>
    </row>
    <row r="13" customFormat="false" ht="15" hidden="false" customHeight="true" outlineLevel="0" collapsed="false">
      <c r="A13" s="10" t="n">
        <v>2</v>
      </c>
      <c r="B13" s="10" t="n">
        <v>192</v>
      </c>
      <c r="C13" s="10" t="str">
        <f aca="false">IF(B13&lt;128,"Dark","Bright")</f>
        <v>Bright</v>
      </c>
      <c r="D13" s="10" t="n">
        <f aca="false">IF(B13&lt;128,MIN(255,B13+32),MAX(0,B13-8))</f>
        <v>184</v>
      </c>
      <c r="E13" s="10" t="n">
        <f aca="false">IF(B13&lt;128,13,15)</f>
        <v>15</v>
      </c>
      <c r="F13" s="9"/>
      <c r="G13" s="9"/>
      <c r="H13" s="10" t="n">
        <f aca="false">IF(F13="MISS",47,0)+IF(G13="MISPREDICT",15,0)</f>
        <v>0</v>
      </c>
      <c r="I13" s="10" t="n">
        <f aca="false">I12+E13+H13</f>
        <v>30</v>
      </c>
      <c r="J13" s="9"/>
      <c r="K13" s="10" t="str">
        <f aca="false">IF(J13="","",IF(J13=I13,"✓","✗ check"))</f>
        <v/>
      </c>
    </row>
    <row r="14" customFormat="false" ht="15" hidden="false" customHeight="true" outlineLevel="0" collapsed="false">
      <c r="A14" s="10" t="n">
        <v>3</v>
      </c>
      <c r="B14" s="10" t="n">
        <v>64</v>
      </c>
      <c r="C14" s="10" t="str">
        <f aca="false">IF(B14&lt;128,"Dark","Bright")</f>
        <v>Dark</v>
      </c>
      <c r="D14" s="10" t="n">
        <f aca="false">IF(B14&lt;128,MIN(255,B14+32),MAX(0,B14-8))</f>
        <v>96</v>
      </c>
      <c r="E14" s="10" t="n">
        <f aca="false">IF(B14&lt;128,13,15)</f>
        <v>13</v>
      </c>
      <c r="F14" s="9"/>
      <c r="G14" s="9"/>
      <c r="H14" s="10" t="n">
        <f aca="false">IF(F14="MISS",47,0)+IF(G14="MISPREDICT",15,0)</f>
        <v>0</v>
      </c>
      <c r="I14" s="10" t="n">
        <f aca="false">I13+E14+H14</f>
        <v>43</v>
      </c>
      <c r="J14" s="9"/>
      <c r="K14" s="10" t="str">
        <f aca="false">IF(J14="","",IF(J14=I14,"✓","✗ check"))</f>
        <v/>
      </c>
    </row>
    <row r="15" customFormat="false" ht="15" hidden="false" customHeight="true" outlineLevel="0" collapsed="false">
      <c r="A15" s="10" t="n">
        <v>4</v>
      </c>
      <c r="B15" s="10" t="n">
        <v>192</v>
      </c>
      <c r="C15" s="10" t="str">
        <f aca="false">IF(B15&lt;128,"Dark","Bright")</f>
        <v>Bright</v>
      </c>
      <c r="D15" s="10" t="n">
        <f aca="false">IF(B15&lt;128,MIN(255,B15+32),MAX(0,B15-8))</f>
        <v>184</v>
      </c>
      <c r="E15" s="10" t="n">
        <f aca="false">IF(B15&lt;128,13,15)</f>
        <v>15</v>
      </c>
      <c r="F15" s="9"/>
      <c r="G15" s="9"/>
      <c r="H15" s="10" t="n">
        <f aca="false">IF(F15="MISS",47,0)+IF(G15="MISPREDICT",15,0)</f>
        <v>0</v>
      </c>
      <c r="I15" s="10" t="n">
        <f aca="false">I14+E15+H15</f>
        <v>58</v>
      </c>
      <c r="J15" s="9"/>
      <c r="K15" s="10" t="str">
        <f aca="false">IF(J15="","",IF(J15=I15,"✓","✗ check"))</f>
        <v/>
      </c>
    </row>
    <row r="16" customFormat="false" ht="15" hidden="false" customHeight="true" outlineLevel="0" collapsed="false">
      <c r="A16" s="10" t="n">
        <v>5</v>
      </c>
      <c r="B16" s="10" t="n">
        <v>64</v>
      </c>
      <c r="C16" s="10" t="str">
        <f aca="false">IF(B16&lt;128,"Dark","Bright")</f>
        <v>Dark</v>
      </c>
      <c r="D16" s="10" t="n">
        <f aca="false">IF(B16&lt;128,MIN(255,B16+32),MAX(0,B16-8))</f>
        <v>96</v>
      </c>
      <c r="E16" s="10" t="n">
        <f aca="false">IF(B16&lt;128,13,15)</f>
        <v>13</v>
      </c>
      <c r="F16" s="9"/>
      <c r="G16" s="9"/>
      <c r="H16" s="10" t="n">
        <f aca="false">IF(F16="MISS",47,0)+IF(G16="MISPREDICT",15,0)</f>
        <v>0</v>
      </c>
      <c r="I16" s="10" t="n">
        <f aca="false">I15+E16+H16</f>
        <v>71</v>
      </c>
      <c r="J16" s="9"/>
      <c r="K16" s="10" t="str">
        <f aca="false">IF(J16="","",IF(J16=I16,"✓","✗ check"))</f>
        <v/>
      </c>
    </row>
    <row r="17" customFormat="false" ht="15" hidden="false" customHeight="true" outlineLevel="0" collapsed="false">
      <c r="A17" s="10" t="n">
        <v>6</v>
      </c>
      <c r="B17" s="10" t="n">
        <v>192</v>
      </c>
      <c r="C17" s="10" t="str">
        <f aca="false">IF(B17&lt;128,"Dark","Bright")</f>
        <v>Bright</v>
      </c>
      <c r="D17" s="10" t="n">
        <f aca="false">IF(B17&lt;128,MIN(255,B17+32),MAX(0,B17-8))</f>
        <v>184</v>
      </c>
      <c r="E17" s="10" t="n">
        <f aca="false">IF(B17&lt;128,13,15)</f>
        <v>15</v>
      </c>
      <c r="F17" s="9"/>
      <c r="G17" s="9"/>
      <c r="H17" s="10" t="n">
        <f aca="false">IF(F17="MISS",47,0)+IF(G17="MISPREDICT",15,0)</f>
        <v>0</v>
      </c>
      <c r="I17" s="10" t="n">
        <f aca="false">I16+E17+H17</f>
        <v>86</v>
      </c>
      <c r="J17" s="9"/>
      <c r="K17" s="10" t="str">
        <f aca="false">IF(J17="","",IF(J17=I17,"✓","✗ check"))</f>
        <v/>
      </c>
    </row>
    <row r="18" customFormat="false" ht="15" hidden="false" customHeight="true" outlineLevel="0" collapsed="false">
      <c r="A18" s="10" t="n">
        <v>7</v>
      </c>
      <c r="B18" s="10" t="n">
        <v>64</v>
      </c>
      <c r="C18" s="10" t="str">
        <f aca="false">IF(B18&lt;128,"Dark","Bright")</f>
        <v>Dark</v>
      </c>
      <c r="D18" s="10" t="n">
        <f aca="false">IF(B18&lt;128,MIN(255,B18+32),MAX(0,B18-8))</f>
        <v>96</v>
      </c>
      <c r="E18" s="10" t="n">
        <f aca="false">IF(B18&lt;128,13,15)</f>
        <v>13</v>
      </c>
      <c r="F18" s="9"/>
      <c r="G18" s="9"/>
      <c r="H18" s="10" t="n">
        <f aca="false">IF(F18="MISS",47,0)+IF(G18="MISPREDICT",15,0)</f>
        <v>0</v>
      </c>
      <c r="I18" s="10" t="n">
        <f aca="false">I17+E18+H18</f>
        <v>99</v>
      </c>
      <c r="J18" s="9"/>
      <c r="K18" s="10" t="str">
        <f aca="false">IF(J18="","",IF(J18=I18,"✓","✗ check"))</f>
        <v/>
      </c>
    </row>
    <row r="19" customFormat="false" ht="15" hidden="false" customHeight="true" outlineLevel="0" collapsed="false">
      <c r="A19" s="10" t="n">
        <v>8</v>
      </c>
      <c r="B19" s="10" t="n">
        <v>192</v>
      </c>
      <c r="C19" s="10" t="str">
        <f aca="false">IF(B19&lt;128,"Dark","Bright")</f>
        <v>Bright</v>
      </c>
      <c r="D19" s="10" t="n">
        <f aca="false">IF(B19&lt;128,MIN(255,B19+32),MAX(0,B19-8))</f>
        <v>184</v>
      </c>
      <c r="E19" s="10" t="n">
        <f aca="false">IF(B19&lt;128,13,15)</f>
        <v>15</v>
      </c>
      <c r="F19" s="9"/>
      <c r="G19" s="9"/>
      <c r="H19" s="10" t="n">
        <f aca="false">IF(F19="MISS",47,0)+IF(G19="MISPREDICT",15,0)</f>
        <v>0</v>
      </c>
      <c r="I19" s="10" t="n">
        <f aca="false">I18+E19+H19</f>
        <v>114</v>
      </c>
      <c r="J19" s="9"/>
      <c r="K19" s="10" t="str">
        <f aca="false">IF(J19="","",IF(J19=I19,"✓","✗ check"))</f>
        <v/>
      </c>
    </row>
    <row r="20" customFormat="false" ht="15" hidden="false" customHeight="true" outlineLevel="0" collapsed="false">
      <c r="A20" s="10" t="n">
        <v>9</v>
      </c>
      <c r="B20" s="10" t="n">
        <v>64</v>
      </c>
      <c r="C20" s="10" t="str">
        <f aca="false">IF(B20&lt;128,"Dark","Bright")</f>
        <v>Dark</v>
      </c>
      <c r="D20" s="10" t="n">
        <f aca="false">IF(B20&lt;128,MIN(255,B20+32),MAX(0,B20-8))</f>
        <v>96</v>
      </c>
      <c r="E20" s="10" t="n">
        <f aca="false">IF(B20&lt;128,13,15)</f>
        <v>13</v>
      </c>
      <c r="F20" s="9"/>
      <c r="G20" s="9"/>
      <c r="H20" s="10" t="n">
        <f aca="false">IF(F20="MISS",47,0)+IF(G20="MISPREDICT",15,0)</f>
        <v>0</v>
      </c>
      <c r="I20" s="10" t="n">
        <f aca="false">I19+E20+H20</f>
        <v>127</v>
      </c>
      <c r="J20" s="9"/>
      <c r="K20" s="10" t="str">
        <f aca="false">IF(J20="","",IF(J20=I20,"✓","✗ check"))</f>
        <v/>
      </c>
    </row>
    <row r="21" customFormat="false" ht="15" hidden="false" customHeight="true" outlineLevel="0" collapsed="false">
      <c r="A21" s="10" t="n">
        <v>10</v>
      </c>
      <c r="B21" s="10" t="n">
        <v>192</v>
      </c>
      <c r="C21" s="10" t="str">
        <f aca="false">IF(B21&lt;128,"Dark","Bright")</f>
        <v>Bright</v>
      </c>
      <c r="D21" s="10" t="n">
        <f aca="false">IF(B21&lt;128,MIN(255,B21+32),MAX(0,B21-8))</f>
        <v>184</v>
      </c>
      <c r="E21" s="10" t="n">
        <f aca="false">IF(B21&lt;128,13,15)</f>
        <v>15</v>
      </c>
      <c r="F21" s="9"/>
      <c r="G21" s="9"/>
      <c r="H21" s="10" t="n">
        <f aca="false">IF(F21="MISS",47,0)+IF(G21="MISPREDICT",15,0)</f>
        <v>0</v>
      </c>
      <c r="I21" s="10" t="n">
        <f aca="false">I20+E21+H21</f>
        <v>142</v>
      </c>
      <c r="J21" s="9"/>
      <c r="K21" s="10" t="str">
        <f aca="false">IF(J21="","",IF(J21=I21,"✓","✗ check"))</f>
        <v/>
      </c>
    </row>
    <row r="22" customFormat="false" ht="15" hidden="false" customHeight="true" outlineLevel="0" collapsed="false">
      <c r="A22" s="10" t="n">
        <v>11</v>
      </c>
      <c r="B22" s="10" t="n">
        <v>64</v>
      </c>
      <c r="C22" s="10" t="str">
        <f aca="false">IF(B22&lt;128,"Dark","Bright")</f>
        <v>Dark</v>
      </c>
      <c r="D22" s="10" t="n">
        <f aca="false">IF(B22&lt;128,MIN(255,B22+32),MAX(0,B22-8))</f>
        <v>96</v>
      </c>
      <c r="E22" s="10" t="n">
        <f aca="false">IF(B22&lt;128,13,15)</f>
        <v>13</v>
      </c>
      <c r="F22" s="9"/>
      <c r="G22" s="9"/>
      <c r="H22" s="10" t="n">
        <f aca="false">IF(F22="MISS",47,0)+IF(G22="MISPREDICT",15,0)</f>
        <v>0</v>
      </c>
      <c r="I22" s="10" t="n">
        <f aca="false">I21+E22+H22</f>
        <v>155</v>
      </c>
      <c r="J22" s="9"/>
      <c r="K22" s="10" t="str">
        <f aca="false">IF(J22="","",IF(J22=I22,"✓","✗ check"))</f>
        <v/>
      </c>
    </row>
    <row r="23" customFormat="false" ht="15" hidden="false" customHeight="true" outlineLevel="0" collapsed="false">
      <c r="A23" s="10" t="n">
        <v>12</v>
      </c>
      <c r="B23" s="10" t="n">
        <v>192</v>
      </c>
      <c r="C23" s="10" t="str">
        <f aca="false">IF(B23&lt;128,"Dark","Bright")</f>
        <v>Bright</v>
      </c>
      <c r="D23" s="10" t="n">
        <f aca="false">IF(B23&lt;128,MIN(255,B23+32),MAX(0,B23-8))</f>
        <v>184</v>
      </c>
      <c r="E23" s="10" t="n">
        <f aca="false">IF(B23&lt;128,13,15)</f>
        <v>15</v>
      </c>
      <c r="F23" s="9"/>
      <c r="G23" s="9"/>
      <c r="H23" s="10" t="n">
        <f aca="false">IF(F23="MISS",47,0)+IF(G23="MISPREDICT",15,0)</f>
        <v>0</v>
      </c>
      <c r="I23" s="10" t="n">
        <f aca="false">I22+E23+H23</f>
        <v>170</v>
      </c>
      <c r="J23" s="9"/>
      <c r="K23" s="10" t="str">
        <f aca="false">IF(J23="","",IF(J23=I23,"✓","✗ check"))</f>
        <v/>
      </c>
    </row>
    <row r="24" customFormat="false" ht="15" hidden="false" customHeight="true" outlineLevel="0" collapsed="false">
      <c r="A24" s="10" t="n">
        <v>13</v>
      </c>
      <c r="B24" s="10" t="n">
        <v>64</v>
      </c>
      <c r="C24" s="10" t="str">
        <f aca="false">IF(B24&lt;128,"Dark","Bright")</f>
        <v>Dark</v>
      </c>
      <c r="D24" s="10" t="n">
        <f aca="false">IF(B24&lt;128,MIN(255,B24+32),MAX(0,B24-8))</f>
        <v>96</v>
      </c>
      <c r="E24" s="10" t="n">
        <f aca="false">IF(B24&lt;128,13,15)</f>
        <v>13</v>
      </c>
      <c r="F24" s="9"/>
      <c r="G24" s="9"/>
      <c r="H24" s="10" t="n">
        <f aca="false">IF(F24="MISS",47,0)+IF(G24="MISPREDICT",15,0)</f>
        <v>0</v>
      </c>
      <c r="I24" s="10" t="n">
        <f aca="false">I23+E24+H24</f>
        <v>183</v>
      </c>
      <c r="J24" s="9"/>
      <c r="K24" s="10" t="str">
        <f aca="false">IF(J24="","",IF(J24=I24,"✓","✗ check"))</f>
        <v/>
      </c>
    </row>
    <row r="25" customFormat="false" ht="15" hidden="false" customHeight="true" outlineLevel="0" collapsed="false">
      <c r="A25" s="10" t="n">
        <v>14</v>
      </c>
      <c r="B25" s="10" t="n">
        <v>192</v>
      </c>
      <c r="C25" s="10" t="str">
        <f aca="false">IF(B25&lt;128,"Dark","Bright")</f>
        <v>Bright</v>
      </c>
      <c r="D25" s="10" t="n">
        <f aca="false">IF(B25&lt;128,MIN(255,B25+32),MAX(0,B25-8))</f>
        <v>184</v>
      </c>
      <c r="E25" s="10" t="n">
        <f aca="false">IF(B25&lt;128,13,15)</f>
        <v>15</v>
      </c>
      <c r="F25" s="9"/>
      <c r="G25" s="9"/>
      <c r="H25" s="10" t="n">
        <f aca="false">IF(F25="MISS",47,0)+IF(G25="MISPREDICT",15,0)</f>
        <v>0</v>
      </c>
      <c r="I25" s="10" t="n">
        <f aca="false">I24+E25+H25</f>
        <v>198</v>
      </c>
      <c r="J25" s="9"/>
      <c r="K25" s="10" t="str">
        <f aca="false">IF(J25="","",IF(J25=I25,"✓","✗ check"))</f>
        <v/>
      </c>
    </row>
    <row r="26" customFormat="false" ht="15" hidden="false" customHeight="true" outlineLevel="0" collapsed="false">
      <c r="A26" s="10" t="n">
        <v>15</v>
      </c>
      <c r="B26" s="10" t="n">
        <v>64</v>
      </c>
      <c r="C26" s="10" t="str">
        <f aca="false">IF(B26&lt;128,"Dark","Bright")</f>
        <v>Dark</v>
      </c>
      <c r="D26" s="10" t="n">
        <f aca="false">IF(B26&lt;128,MIN(255,B26+32),MAX(0,B26-8))</f>
        <v>96</v>
      </c>
      <c r="E26" s="10" t="n">
        <f aca="false">IF(B26&lt;128,13,15)</f>
        <v>13</v>
      </c>
      <c r="F26" s="9"/>
      <c r="G26" s="9"/>
      <c r="H26" s="10" t="n">
        <f aca="false">IF(F26="MISS",47,0)+IF(G26="MISPREDICT",15,0)</f>
        <v>0</v>
      </c>
      <c r="I26" s="10" t="n">
        <f aca="false">I25+E26+H26</f>
        <v>211</v>
      </c>
      <c r="J26" s="9"/>
      <c r="K26" s="10" t="str">
        <f aca="false">IF(J26="","",IF(J26=I26,"✓","✗ check"))</f>
        <v/>
      </c>
    </row>
    <row r="27" customFormat="false" ht="15" hidden="false" customHeight="true" outlineLevel="0" collapsed="false">
      <c r="A27" s="10" t="n">
        <v>16</v>
      </c>
      <c r="B27" s="10" t="n">
        <v>192</v>
      </c>
      <c r="C27" s="10" t="str">
        <f aca="false">IF(B27&lt;128,"Dark","Bright")</f>
        <v>Bright</v>
      </c>
      <c r="D27" s="10" t="n">
        <f aca="false">IF(B27&lt;128,MIN(255,B27+32),MAX(0,B27-8))</f>
        <v>184</v>
      </c>
      <c r="E27" s="10" t="n">
        <f aca="false">IF(B27&lt;128,13,15)</f>
        <v>15</v>
      </c>
      <c r="F27" s="9"/>
      <c r="G27" s="9"/>
      <c r="H27" s="10" t="n">
        <f aca="false">IF(F27="MISS",47,0)+IF(G27="MISPREDICT",15,0)</f>
        <v>0</v>
      </c>
      <c r="I27" s="10" t="n">
        <f aca="false">I26+E27+H27</f>
        <v>226</v>
      </c>
      <c r="J27" s="9"/>
      <c r="K27" s="10" t="str">
        <f aca="false">IF(J27="","",IF(J27=I27,"✓","✗ check"))</f>
        <v/>
      </c>
    </row>
    <row r="29" customFormat="false" ht="15" hidden="false" customHeight="true" outlineLevel="0" collapsed="false">
      <c r="A29" s="11" t="s">
        <v>21</v>
      </c>
    </row>
    <row r="30" customFormat="false" ht="15" hidden="false" customHeight="true" outlineLevel="0" collapsed="false">
      <c r="A30" s="12" t="s">
        <v>22</v>
      </c>
      <c r="B30" s="10" t="n">
        <f aca="false">COUNTIF(C12:C27,"Dark")</f>
        <v>8</v>
      </c>
    </row>
    <row r="31" customFormat="false" ht="15" hidden="false" customHeight="true" outlineLevel="0" collapsed="false">
      <c r="A31" s="12" t="s">
        <v>23</v>
      </c>
      <c r="B31" s="10" t="n">
        <f aca="false">COUNTIF(C12:C27,"Bright")</f>
        <v>8</v>
      </c>
    </row>
    <row r="32" customFormat="false" ht="15" hidden="false" customHeight="true" outlineLevel="0" collapsed="false">
      <c r="A32" s="12" t="s">
        <v>24</v>
      </c>
      <c r="B32" s="10" t="n">
        <f aca="false">E11+SUM(E12:E27)</f>
        <v>226</v>
      </c>
    </row>
    <row r="33" customFormat="false" ht="15" hidden="false" customHeight="true" outlineLevel="0" collapsed="false">
      <c r="A33" s="12" t="s">
        <v>25</v>
      </c>
      <c r="B33" s="10" t="n">
        <f aca="false">COUNTIF(F12:F27,"MISS")</f>
        <v>0</v>
      </c>
    </row>
    <row r="34" customFormat="false" ht="15" hidden="false" customHeight="true" outlineLevel="0" collapsed="false">
      <c r="A34" s="12" t="s">
        <v>26</v>
      </c>
      <c r="B34" s="10" t="n">
        <f aca="false">B33*47</f>
        <v>0</v>
      </c>
    </row>
    <row r="35" customFormat="false" ht="15" hidden="false" customHeight="true" outlineLevel="0" collapsed="false">
      <c r="A35" s="12" t="s">
        <v>27</v>
      </c>
      <c r="B35" s="10" t="n">
        <f aca="false">COUNTIF(G12:G27,"MISPREDICT")</f>
        <v>0</v>
      </c>
    </row>
    <row r="36" customFormat="false" ht="15" hidden="false" customHeight="true" outlineLevel="0" collapsed="false">
      <c r="A36" s="12" t="s">
        <v>28</v>
      </c>
      <c r="B36" s="10" t="n">
        <f aca="false">B35*15</f>
        <v>0</v>
      </c>
    </row>
    <row r="37" customFormat="false" ht="15" hidden="false" customHeight="true" outlineLevel="0" collapsed="false">
      <c r="A37" s="12" t="s">
        <v>29</v>
      </c>
      <c r="B37" s="13" t="n">
        <f aca="false">B32+B34+B36</f>
        <v>226</v>
      </c>
    </row>
    <row r="38" customFormat="false" ht="15" hidden="false" customHeight="true" outlineLevel="0" collapsed="false">
      <c r="A38" s="12" t="s">
        <v>30</v>
      </c>
      <c r="B38" s="10" t="str">
        <f aca="false">IF(J27="","",J27)</f>
        <v/>
      </c>
    </row>
    <row r="39" customFormat="false" ht="15" hidden="false" customHeight="true" outlineLevel="0" collapsed="false">
      <c r="A39" s="12" t="s">
        <v>31</v>
      </c>
      <c r="B39" s="14" t="n">
        <f aca="false">B37/16</f>
        <v>14.125</v>
      </c>
    </row>
    <row r="40" customFormat="false" ht="15" hidden="false" customHeight="true" outlineLevel="0" collapsed="false">
      <c r="A40" s="12" t="s">
        <v>32</v>
      </c>
      <c r="B40" s="15" t="str">
        <f aca="false">IF(COUNTA(F12:F27)=0,"",COUNTIF(F12:F27,"HIT")/COUNTA(F12:F27))</f>
        <v/>
      </c>
    </row>
    <row r="41" customFormat="false" ht="15" hidden="false" customHeight="true" outlineLevel="0" collapsed="false">
      <c r="A41" s="12" t="s">
        <v>33</v>
      </c>
      <c r="B41" s="15" t="str">
        <f aca="false">IF(COUNTA(G12:G27)=0,"",COUNTIF(G12:G27,"HIT")/COUNTA(G12:G27))</f>
        <v/>
      </c>
    </row>
    <row r="43" customFormat="false" ht="15" hidden="false" customHeight="true" outlineLevel="0" collapsed="false">
      <c r="A43" s="16" t="s">
        <v>34</v>
      </c>
    </row>
  </sheetData>
  <conditionalFormatting sqref="K11:K27">
    <cfRule type="expression" priority="2" aboveAverage="0" equalAverage="0" bottom="0" percent="0" rank="0" text="" dxfId="0">
      <formula>LEFT(K11,1)="✗"</formula>
    </cfRule>
    <cfRule type="expression" priority="3" aboveAverage="0" equalAverage="0" bottom="0" percent="0" rank="0" text="" dxfId="1">
      <formula>K11="✓"</formula>
    </cfRule>
  </conditionalFormatting>
  <dataValidations count="2">
    <dataValidation allowBlank="true" errorStyle="stop" operator="between" showDropDown="false" showErrorMessage="false" showInputMessage="false" sqref="F12:F27" type="list">
      <formula1>"HIT,MISS"</formula1>
      <formula2>0</formula2>
    </dataValidation>
    <dataValidation allowBlank="true" errorStyle="stop" operator="between" showDropDown="false" showErrorMessage="false" showInputMessage="false" sqref="G12:G27" type="list">
      <formula1>"HIT,MISPREDICT"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2026-09-29T07:02:35Z</dcterms:created>
  <dc:creator>openpyxl</dc:creator>
  <dc:description/>
  <dc:language>en-US</dc:language>
  <cp:lastModifiedBy/>
  <dcterms:modified xsi:type="dcterms:W3CDTF">2026-09-29T07:49:03Z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