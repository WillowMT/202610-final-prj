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<sst xmlns="http://schemas.openxmlformats.org/spreadsheetml/2006/main" count="29" uniqueCount="29">
  <si>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Project 1 — Runs 5–8 data collection (500 ms/step)</t>
  </si>
  <si>
    <t xml:space="preserve">Blue = values read from the screenshots. Black = formulas. Penalties from simulator code: cache miss +47, branch mispredict +15.</t>
  </si>
  <si>
    <t xml:space="preserve">Run</t>
  </si>
  <si>
    <t xml:space="preserve">Test case</t>
  </si>
  <si>
    <t xml:space="preserve">Dark pixels</t>
  </si>
  <si>
    <t xml:space="preserve">Bright pixels</t>
  </si>
  <si>
    <t xml:space="preserve">Total cycles</t>
  </si>
  <si>
    <t xml:space="preserve">Cache hits</t>
  </si>
  <si>
    <t xml:space="preserve">Cache misses</t>
  </si>
  <si>
    <t xml:space="preserve">Branch correct</t>
  </si>
  <si>
    <t xml:space="preserve">Branch total</t>
  </si>
  <si>
    <t xml:space="preserve">Stall cycles (screen)</t>
  </si>
  <si>
    <t xml:space="preserve">Cycles/pixel</t>
  </si>
  <si>
    <t xml:space="preserve">Cache hit %</t>
  </si>
  <si>
    <t xml:space="preserve">Branch accuracy %</t>
  </si>
  <si>
    <t xml:space="preserve">Incorrect predictions</t>
  </si>
  <si>
    <t xml:space="preserve">Instruction cycles</t>
  </si>
  <si>
    <t xml:space="preserve">Cache delay</t>
  </si>
  <si>
    <t xml:space="preserve">Branch delay</t>
  </si>
  <si>
    <t xml:space="preserve">Reconciled total</t>
  </si>
  <si>
    <t xml:space="preserve">Check</t>
  </si>
  <si>
    <t xml:space="preserve">Est. full image (256×256)</t>
  </si>
  <si>
    <t xml:space="preserve">Runs 1–4 total</t>
  </si>
  <si>
    <t xml:space="preserve">Average of 2 runs</t>
  </si>
  <si>
    <t xml:space="preserve">Best (All 0)</t>
  </si>
  <si>
    <t xml:space="preserve">Worst (Alternating)</t>
  </si>
  <si>
    <t xml:space="preserve">Real Case 1 (70% Dark)</t>
  </si>
  <si>
    <t xml:space="preserve">Real Case 2 (Clustered)</t>
  </si>
  <si>
    <t xml:space="preserve">Runs 1–4 totals are from the group's earlier logs (50 ms/step). Speed does not affect cycle counts.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</si>
</sst>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%"/>
    <numFmt numFmtId="167" formatCode="#,##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cycles per test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Summary!E4</c:f>
              <c:strCache>
                <c:ptCount val="1"/>
                <c:pt idx="0">
                  <c:v>Total cycles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Summary!$B$5:$B$8</c:f>
              <c:strCache>
                <c:ptCount val="4"/>
                <c:pt idx="0">
                  <c:v>Best (All 0)</c:v>
                </c:pt>
                <c:pt idx="1">
                  <c:v>Worst (Alternating)</c:v>
                </c:pt>
                <c:pt idx="2">
                  <c:v>Real Case 1 (70% Dark)</c:v>
                </c:pt>
                <c:pt idx="3">
                  <c:v>Real Case 2 (Clustered)</c:v>
                </c:pt>
              </c:strCache>
            </c:strRef>
          </c:cat>
          <c:val>
            <c:numRef>
              <c:f>Summary!$E$5:$E$8</c:f>
              <c:numCache>
                <c:formatCode>General</c:formatCode>
                <c:ptCount val="4"/>
                <c:pt idx="0">
                  <c:v>413</c:v>
                </c:pt>
                <c:pt idx="1">
                  <c:v>504</c:v>
                </c:pt>
                <c:pt idx="2">
                  <c:v>436</c:v>
                </c:pt>
                <c:pt idx="3">
                  <c:v>459</c:v>
                </c:pt>
              </c:numCache>
            </c:numRef>
          </c:val>
        </c:ser>
        <c:ser>
          <c:idx val="1"/>
          <c:order val="1"/>
          <c:tx>
            <c:strRef>
              <c:f>Summary!U4</c:f>
              <c:strCache>
                <c:ptCount val="1"/>
                <c:pt idx="0">
                  <c:v>Runs 1–4 total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Summary!$B$5:$B$8</c:f>
              <c:strCache>
                <c:ptCount val="4"/>
                <c:pt idx="0">
                  <c:v>Best (All 0)</c:v>
                </c:pt>
                <c:pt idx="1">
                  <c:v>Worst (Alternating)</c:v>
                </c:pt>
                <c:pt idx="2">
                  <c:v>Real Case 1 (70% Dark)</c:v>
                </c:pt>
                <c:pt idx="3">
                  <c:v>Real Case 2 (Clustered)</c:v>
                </c:pt>
              </c:strCache>
            </c:strRef>
          </c:cat>
          <c:val>
            <c:numRef>
              <c:f>Summary!$U$5:$U$8</c:f>
              <c:numCache>
                <c:formatCode>General</c:formatCode>
                <c:ptCount val="4"/>
                <c:pt idx="0">
                  <c:v>351</c:v>
                </c:pt>
                <c:pt idx="1">
                  <c:v>502</c:v>
                </c:pt>
                <c:pt idx="2">
                  <c:v>406</c:v>
                </c:pt>
                <c:pt idx="3">
                  <c:v>444</c:v>
                </c:pt>
              </c:numCache>
            </c:numRef>
          </c:val>
        </c:ser>
        <c:gapWidth val="150"/>
        <c:overlap val="0"/>
        <c:axId val="7153174"/>
        <c:axId val="79732636"/>
      </c:barChart>
      <c:catAx>
        <c:axId val="71531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32636"/>
        <c:crosses val="autoZero"/>
        <c:auto val="1"/>
        <c:lblAlgn val="ctr"/>
        <c:lblOffset val="100"/>
        <c:noMultiLvlLbl val="0"/>
      </c:catAx>
      <c:valAx>
        <c:axId val="79732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Cycles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31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cycles go (Runs 5–8)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Summary!O4</c:f>
              <c:strCache>
                <c:ptCount val="1"/>
                <c:pt idx="0">
                  <c:v>Instruction cycles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Summary!$B$5:$B$8</c:f>
              <c:strCache>
                <c:ptCount val="4"/>
                <c:pt idx="0">
                  <c:v>Best (All 0)</c:v>
                </c:pt>
                <c:pt idx="1">
                  <c:v>Worst (Alternating)</c:v>
                </c:pt>
                <c:pt idx="2">
                  <c:v>Real Case 1 (70% Dark)</c:v>
                </c:pt>
                <c:pt idx="3">
                  <c:v>Real Case 2 (Clustered)</c:v>
                </c:pt>
              </c:strCache>
            </c:strRef>
          </c:cat>
          <c:val>
            <c:numRef>
              <c:f>Summary!$O$5:$O$8</c:f>
              <c:numCache>
                <c:formatCode>General</c:formatCode>
                <c:ptCount val="4"/>
                <c:pt idx="0">
                  <c:v>210</c:v>
                </c:pt>
                <c:pt idx="1">
                  <c:v>226</c:v>
                </c:pt>
                <c:pt idx="2">
                  <c:v>220</c:v>
                </c:pt>
                <c:pt idx="3">
                  <c:v>226</c:v>
                </c:pt>
              </c:numCache>
            </c:numRef>
          </c:val>
        </c:ser>
        <c:ser>
          <c:idx val="1"/>
          <c:order val="1"/>
          <c:tx>
            <c:strRef>
              <c:f>Summary!P4</c:f>
              <c:strCache>
                <c:ptCount val="1"/>
                <c:pt idx="0">
                  <c:v>Cache delay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Summary!$B$5:$B$8</c:f>
              <c:strCache>
                <c:ptCount val="4"/>
                <c:pt idx="0">
                  <c:v>Best (All 0)</c:v>
                </c:pt>
                <c:pt idx="1">
                  <c:v>Worst (Alternating)</c:v>
                </c:pt>
                <c:pt idx="2">
                  <c:v>Real Case 1 (70% Dark)</c:v>
                </c:pt>
                <c:pt idx="3">
                  <c:v>Real Case 2 (Clustered)</c:v>
                </c:pt>
              </c:strCache>
            </c:strRef>
          </c:cat>
          <c:val>
            <c:numRef>
              <c:f>Summary!$P$5:$P$8</c:f>
              <c:numCache>
                <c:formatCode>General</c:formatCode>
                <c:ptCount val="4"/>
                <c:pt idx="0">
                  <c:v>188</c:v>
                </c:pt>
                <c:pt idx="1">
                  <c:v>188</c:v>
                </c:pt>
                <c:pt idx="2">
                  <c:v>141</c:v>
                </c:pt>
                <c:pt idx="3">
                  <c:v>188</c:v>
                </c:pt>
              </c:numCache>
            </c:numRef>
          </c:val>
        </c:ser>
        <c:ser>
          <c:idx val="2"/>
          <c:order val="2"/>
          <c:tx>
            <c:strRef>
              <c:f>Summary!Q4</c:f>
              <c:strCache>
                <c:ptCount val="1"/>
                <c:pt idx="0">
                  <c:v>Branch delay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Summary!$B$5:$B$8</c:f>
              <c:strCache>
                <c:ptCount val="4"/>
                <c:pt idx="0">
                  <c:v>Best (All 0)</c:v>
                </c:pt>
                <c:pt idx="1">
                  <c:v>Worst (Alternating)</c:v>
                </c:pt>
                <c:pt idx="2">
                  <c:v>Real Case 1 (70% Dark)</c:v>
                </c:pt>
                <c:pt idx="3">
                  <c:v>Real Case 2 (Clustered)</c:v>
                </c:pt>
              </c:strCache>
            </c:strRef>
          </c:cat>
          <c:val>
            <c:numRef>
              <c:f>Summary!$Q$5:$Q$8</c:f>
              <c:numCache>
                <c:formatCode>General</c:formatCode>
                <c:ptCount val="4"/>
                <c:pt idx="0">
                  <c:v>15</c:v>
                </c:pt>
                <c:pt idx="1">
                  <c:v>90</c:v>
                </c:pt>
                <c:pt idx="2">
                  <c:v>75</c:v>
                </c:pt>
                <c:pt idx="3">
                  <c:v>45</c:v>
                </c:pt>
              </c:numCache>
            </c:numRef>
          </c:val>
        </c:ser>
        <c:gapWidth val="150"/>
        <c:overlap val="100"/>
        <c:axId val="28966378"/>
        <c:axId val="49929193"/>
      </c:barChart>
      <c:catAx>
        <c:axId val="28966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29193"/>
        <c:crosses val="autoZero"/>
        <c:auto val="1"/>
        <c:lblAlgn val="ctr"/>
        <c:lblOffset val="100"/>
        <c:noMultiLvlLbl val="0"/>
      </c:catAx>
      <c:valAx>
        <c:axId val="49929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663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175680</xdr:rowOff>
    </xdr:from>
    <xdr:to>
      <xdr:col>8</xdr:col>
      <xdr:colOff>136080</xdr:colOff>
      <xdr:row>26</xdr:row>
      <xdr:rowOff>7560</xdr:rowOff>
    </xdr:to>
    <xdr:graphicFrame>
      <xdr:nvGraphicFramePr>
        <xdr:cNvPr id="0" name="Chart 1"/>
        <xdr:cNvGraphicFramePr/>
      </xdr:nvGraphicFramePr>
      <xdr:xfrm>
        <a:off x="423000" y="2476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175680</xdr:rowOff>
    </xdr:from>
    <xdr:to>
      <xdr:col>19</xdr:col>
      <xdr:colOff>276840</xdr:colOff>
      <xdr:row>26</xdr:row>
      <xdr:rowOff>7560</xdr:rowOff>
    </xdr:to>
    <xdr:graphicFrame>
      <xdr:nvGraphicFramePr>
        <xdr:cNvPr id="1" name="Chart 2"/>
        <xdr:cNvGraphicFramePr/>
      </xdr:nvGraphicFramePr>
      <xdr:xfrm>
        <a:off x="9092520" y="2476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22" min="3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5" hidden="false" customHeight="false" outlineLevel="0" collapsed="false">
      <c r="A5" s="4" t="n">
        <v>5</v>
      </c>
      <c r="B5" s="4" t="s">
        <v>24</v>
      </c>
      <c r="C5" s="5" t="n">
        <v>16</v>
      </c>
      <c r="D5" s="5" t="n">
        <v>0</v>
      </c>
      <c r="E5" s="5" t="n">
        <v>413</v>
      </c>
      <c r="F5" s="5" t="n">
        <v>12</v>
      </c>
      <c r="G5" s="5" t="n">
        <v>4</v>
      </c>
      <c r="H5" s="5" t="n">
        <v>31</v>
      </c>
      <c r="I5" s="5" t="n">
        <v>32</v>
      </c>
      <c r="J5" s="5" t="n">
        <v>203</v>
      </c>
      <c r="K5" s="6" t="n">
        <f aca="false">E5/16</f>
        <v>25.8125</v>
      </c>
      <c r="L5" s="7" t="n">
        <f aca="false">F5/(F5+G5)</f>
        <v>0.75</v>
      </c>
      <c r="M5" s="7" t="n">
        <f aca="false">H5/I5</f>
        <v>0.96875</v>
      </c>
      <c r="N5" s="4" t="n">
        <f aca="false">I5-H5</f>
        <v>1</v>
      </c>
      <c r="O5" s="4" t="n">
        <f aca="false">2+13*C5+15*D5</f>
        <v>210</v>
      </c>
      <c r="P5" s="4" t="n">
        <f aca="false">G5*47</f>
        <v>188</v>
      </c>
      <c r="Q5" s="4" t="n">
        <f aca="false">N5*15</f>
        <v>15</v>
      </c>
      <c r="R5" s="4" t="n">
        <f aca="false">O5+P5+Q5</f>
        <v>413</v>
      </c>
      <c r="S5" s="4" t="str">
        <f aca="false">IF(AND(R5=E5,P5+Q5=J5),"OK","MISMATCH")</f>
        <v>OK</v>
      </c>
      <c r="T5" s="8" t="n">
        <f aca="false">E5*4096</f>
        <v>1691648</v>
      </c>
      <c r="U5" s="5" t="n">
        <v>351</v>
      </c>
      <c r="V5" s="9" t="n">
        <f aca="false">AVERAGE(E5,U5)</f>
        <v>382</v>
      </c>
    </row>
    <row r="6" customFormat="false" ht="15" hidden="false" customHeight="false" outlineLevel="0" collapsed="false">
      <c r="A6" s="4" t="n">
        <v>6</v>
      </c>
      <c r="B6" s="4" t="s">
        <v>25</v>
      </c>
      <c r="C6" s="5" t="n">
        <v>8</v>
      </c>
      <c r="D6" s="5" t="n">
        <v>8</v>
      </c>
      <c r="E6" s="5" t="n">
        <v>504</v>
      </c>
      <c r="F6" s="5" t="n">
        <v>12</v>
      </c>
      <c r="G6" s="5" t="n">
        <v>4</v>
      </c>
      <c r="H6" s="5" t="n">
        <v>26</v>
      </c>
      <c r="I6" s="5" t="n">
        <v>32</v>
      </c>
      <c r="J6" s="5" t="n">
        <v>278</v>
      </c>
      <c r="K6" s="6" t="n">
        <f aca="false">E6/16</f>
        <v>31.5</v>
      </c>
      <c r="L6" s="7" t="n">
        <f aca="false">F6/(F6+G6)</f>
        <v>0.75</v>
      </c>
      <c r="M6" s="7" t="n">
        <f aca="false">H6/I6</f>
        <v>0.8125</v>
      </c>
      <c r="N6" s="4" t="n">
        <f aca="false">I6-H6</f>
        <v>6</v>
      </c>
      <c r="O6" s="4" t="n">
        <f aca="false">2+13*C6+15*D6</f>
        <v>226</v>
      </c>
      <c r="P6" s="4" t="n">
        <f aca="false">G6*47</f>
        <v>188</v>
      </c>
      <c r="Q6" s="4" t="n">
        <f aca="false">N6*15</f>
        <v>90</v>
      </c>
      <c r="R6" s="4" t="n">
        <f aca="false">O6+P6+Q6</f>
        <v>504</v>
      </c>
      <c r="S6" s="4" t="str">
        <f aca="false">IF(AND(R6=E6,P6+Q6=J6),"OK","MISMATCH")</f>
        <v>OK</v>
      </c>
      <c r="T6" s="8" t="n">
        <f aca="false">E6*4096</f>
        <v>2064384</v>
      </c>
      <c r="U6" s="5" t="n">
        <v>502</v>
      </c>
      <c r="V6" s="9" t="n">
        <f aca="false">AVERAGE(E6,U6)</f>
        <v>503</v>
      </c>
    </row>
    <row r="7" customFormat="false" ht="15" hidden="false" customHeight="false" outlineLevel="0" collapsed="false">
      <c r="A7" s="4" t="n">
        <v>7</v>
      </c>
      <c r="B7" s="4" t="s">
        <v>26</v>
      </c>
      <c r="C7" s="5" t="n">
        <v>11</v>
      </c>
      <c r="D7" s="5" t="n">
        <v>5</v>
      </c>
      <c r="E7" s="5" t="n">
        <v>436</v>
      </c>
      <c r="F7" s="5" t="n">
        <v>13</v>
      </c>
      <c r="G7" s="5" t="n">
        <v>3</v>
      </c>
      <c r="H7" s="5" t="n">
        <v>27</v>
      </c>
      <c r="I7" s="5" t="n">
        <v>32</v>
      </c>
      <c r="J7" s="5" t="n">
        <v>216</v>
      </c>
      <c r="K7" s="6" t="n">
        <f aca="false">E7/16</f>
        <v>27.25</v>
      </c>
      <c r="L7" s="7" t="n">
        <f aca="false">F7/(F7+G7)</f>
        <v>0.8125</v>
      </c>
      <c r="M7" s="7" t="n">
        <f aca="false">H7/I7</f>
        <v>0.84375</v>
      </c>
      <c r="N7" s="4" t="n">
        <f aca="false">I7-H7</f>
        <v>5</v>
      </c>
      <c r="O7" s="4" t="n">
        <f aca="false">2+13*C7+15*D7</f>
        <v>220</v>
      </c>
      <c r="P7" s="4" t="n">
        <f aca="false">G7*47</f>
        <v>141</v>
      </c>
      <c r="Q7" s="4" t="n">
        <f aca="false">N7*15</f>
        <v>75</v>
      </c>
      <c r="R7" s="4" t="n">
        <f aca="false">O7+P7+Q7</f>
        <v>436</v>
      </c>
      <c r="S7" s="4" t="str">
        <f aca="false">IF(AND(R7=E7,P7+Q7=J7),"OK","MISMATCH")</f>
        <v>OK</v>
      </c>
      <c r="T7" s="8" t="n">
        <f aca="false">E7*4096</f>
        <v>1785856</v>
      </c>
      <c r="U7" s="5" t="n">
        <v>406</v>
      </c>
      <c r="V7" s="9" t="n">
        <f aca="false">AVERAGE(E7,U7)</f>
        <v>421</v>
      </c>
    </row>
    <row r="8" customFormat="false" ht="15" hidden="false" customHeight="false" outlineLevel="0" collapsed="false">
      <c r="A8" s="4" t="n">
        <v>8</v>
      </c>
      <c r="B8" s="4" t="s">
        <v>27</v>
      </c>
      <c r="C8" s="5" t="n">
        <v>8</v>
      </c>
      <c r="D8" s="5" t="n">
        <v>8</v>
      </c>
      <c r="E8" s="5" t="n">
        <v>459</v>
      </c>
      <c r="F8" s="5" t="n">
        <v>12</v>
      </c>
      <c r="G8" s="5" t="n">
        <v>4</v>
      </c>
      <c r="H8" s="5" t="n">
        <v>29</v>
      </c>
      <c r="I8" s="5" t="n">
        <v>32</v>
      </c>
      <c r="J8" s="5" t="n">
        <v>233</v>
      </c>
      <c r="K8" s="6" t="n">
        <f aca="false">E8/16</f>
        <v>28.6875</v>
      </c>
      <c r="L8" s="7" t="n">
        <f aca="false">F8/(F8+G8)</f>
        <v>0.75</v>
      </c>
      <c r="M8" s="7" t="n">
        <f aca="false">H8/I8</f>
        <v>0.90625</v>
      </c>
      <c r="N8" s="4" t="n">
        <f aca="false">I8-H8</f>
        <v>3</v>
      </c>
      <c r="O8" s="4" t="n">
        <f aca="false">2+13*C8+15*D8</f>
        <v>226</v>
      </c>
      <c r="P8" s="4" t="n">
        <f aca="false">G8*47</f>
        <v>188</v>
      </c>
      <c r="Q8" s="4" t="n">
        <f aca="false">N8*15</f>
        <v>45</v>
      </c>
      <c r="R8" s="4" t="n">
        <f aca="false">O8+P8+Q8</f>
        <v>459</v>
      </c>
      <c r="S8" s="4" t="str">
        <f aca="false">IF(AND(R8=E8,P8+Q8=J8),"OK","MISMATCH")</f>
        <v>OK</v>
      </c>
      <c r="T8" s="8" t="n">
        <f aca="false">E8*4096</f>
        <v>1880064</v>
      </c>
      <c r="U8" s="5" t="n">
        <v>444</v>
      </c>
      <c r="V8" s="9" t="n">
        <f aca="false">AVERAGE(E8,U8)</f>
        <v>451.5</v>
      </c>
    </row>
    <row r="10" customFormat="false" ht="15" hidden="false" customHeight="false" outlineLevel="0" collapsed="false">
      <c r="A10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2026-09-29T07:48:47Z</dcterms:created>
  <dc:creator>openpyxl</dc:creator>
  <dc:description/>
  <dc:language>en-US</dc:language>
  <cp:lastModifiedBy/>
  <dcterms:modified xsi:type="dcterms:W3CDTF">2026-09-29T14:48:49Z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